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christoph.bubeck\Documents\GitHub\DPVControl\documents\"/>
    </mc:Choice>
  </mc:AlternateContent>
  <xr:revisionPtr revIDLastSave="0" documentId="8_{A6758672-6246-4E20-B573-D4FE9B87610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LT30-Daten" sheetId="1" r:id="rId1"/>
    <sheet name="Shoppinglist" sheetId="2" r:id="rId2"/>
  </sheets>
  <definedNames>
    <definedName name="_xlnm._FilterDatabase" localSheetId="0" hidden="1">'LT30-Daten'!$A$1:$C$4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3" i="1"/>
  <c r="M26" i="1"/>
  <c r="L26" i="1"/>
  <c r="K2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" i="1"/>
  <c r="G26" i="1"/>
  <c r="G29" i="1" s="1"/>
  <c r="B26" i="1"/>
  <c r="Q26" i="1" l="1"/>
  <c r="P26" i="1"/>
  <c r="O26" i="1"/>
</calcChain>
</file>

<file path=xl/sharedStrings.xml><?xml version="1.0" encoding="utf-8"?>
<sst xmlns="http://schemas.openxmlformats.org/spreadsheetml/2006/main" count="121" uniqueCount="84">
  <si>
    <t>Originalteile</t>
  </si>
  <si>
    <t>Gewicht (g)</t>
  </si>
  <si>
    <t>Platzierung</t>
  </si>
  <si>
    <t>Upgrade</t>
  </si>
  <si>
    <t>Motor 3500rpm 12v 300w</t>
  </si>
  <si>
    <t>Hinten</t>
  </si>
  <si>
    <t>LionAkku</t>
  </si>
  <si>
    <t>Vorne</t>
  </si>
  <si>
    <t>Bleiakku 33ah 12v</t>
  </si>
  <si>
    <t xml:space="preserve">Brusshles motor 4500rpm 48v 2000w  </t>
  </si>
  <si>
    <t>LED</t>
  </si>
  <si>
    <t>Mitte</t>
  </si>
  <si>
    <t>Elektronik</t>
  </si>
  <si>
    <t>controller</t>
  </si>
  <si>
    <t>Schrauben</t>
  </si>
  <si>
    <t>Griffe</t>
  </si>
  <si>
    <t>Heck</t>
  </si>
  <si>
    <t>Tube</t>
  </si>
  <si>
    <t>Kopfteil</t>
  </si>
  <si>
    <t>Summe</t>
  </si>
  <si>
    <t>Original Gesammtgewicht</t>
  </si>
  <si>
    <t xml:space="preserve">Getriebeübersetzung </t>
  </si>
  <si>
    <t>1:5</t>
  </si>
  <si>
    <t xml:space="preserve">Tube Umfang außen </t>
  </si>
  <si>
    <t>22,44 cm</t>
  </si>
  <si>
    <t xml:space="preserve">Tube Umfang innen </t>
  </si>
  <si>
    <t>20 cm</t>
  </si>
  <si>
    <t xml:space="preserve">Akkutube </t>
  </si>
  <si>
    <t>25 cm</t>
  </si>
  <si>
    <t>Motorrube</t>
  </si>
  <si>
    <t xml:space="preserve"> 16cm</t>
  </si>
  <si>
    <t xml:space="preserve">Motorabdeckung </t>
  </si>
  <si>
    <t>6 cm</t>
  </si>
  <si>
    <t>Front</t>
  </si>
  <si>
    <t>13 cm</t>
  </si>
  <si>
    <t>Schraubendrehzahl (ohne Last)</t>
  </si>
  <si>
    <t>700 rpm</t>
  </si>
  <si>
    <t>Wellenaufname (Linksgewinde)</t>
  </si>
  <si>
    <t>m6</t>
  </si>
  <si>
    <t>Wellenaufteilung</t>
  </si>
  <si>
    <t>7,8 und 12mm</t>
  </si>
  <si>
    <t>Name</t>
  </si>
  <si>
    <t>URL</t>
  </si>
  <si>
    <t>Wellendichtring </t>
  </si>
  <si>
    <t>https://www.ebay.de/itm/265634840181?chn=ps&amp;norover=1&amp;mkevt=1&amp;mkrid=707-134425-41852-0&amp;mkcid=2&amp;mkscid=101&amp;itemid=265634840181&amp;targetid=1713533833884&amp;device=c&amp;mktype=pla&amp;googleloc=1004437&amp;poi=&amp;campaignid=17731953013&amp;mkgroupid=142643597030&amp;rlsatarget=aud-1180451474874:pla-1713533833884&amp;abcId=9301016&amp;merchantid=109947240&amp;gclid=Cj0KCQjwt_qgBhDFARIsABcDjOdayBxCL0K-LEpC43RuPTHzb-TqmGsSQyspBwLZmoOqecF76wxkFBkaAr9SEALw_wcB</t>
  </si>
  <si>
    <t>Kugellager </t>
  </si>
  <si>
    <t>https://www.amazon.de/Edelstahl-Kugellager-12x28x8-Industriequalit%C3%A4t-S6001RS/dp/B00OV13F4C</t>
  </si>
  <si>
    <t>Rillenkugellager </t>
  </si>
  <si>
    <t>https://www.kugellager-express.de/rillenkugellager-6001-z-12x28x8-mm?gclid=Cj0KCQjwt_qgBhDFARIsABcDjOfWxJpvsyZSqPP9uDvYZ3-3giZqpGBOOVHHDzzZaYtzxhsyqkfj68waAn6sEALw_wcB</t>
  </si>
  <si>
    <t>Loctite</t>
  </si>
  <si>
    <t>https://www.amazon.de/Loctite-Schraubensicherung-mittelfest-243-10/dp/B00Y8DOMCC/ref=sr_1_3?keywords=loctite&amp;qid=1679826606&amp;s=diy&amp;sprefix=lockt%2Cdiy%2C86&amp;sr=1-3</t>
  </si>
  <si>
    <t>Akku</t>
  </si>
  <si>
    <t>https://www.amazon.de/dp/B08LVLPVJ5/?coliid=I1ZQP30XU1DG73&amp;colid=12Y7X0Z7ZKXD1&amp;psc=1&amp;ref_=lv_ov_lig_dp_it</t>
  </si>
  <si>
    <t>Motor</t>
  </si>
  <si>
    <t>https://www.amazon.de/dp/B0857HSF2P/?coliid=I1UJT71KYHQ7IF&amp;colid=12Y7X0Z7ZKXD1&amp;psc=1&amp;ref_=lv_ov_lig_dp_it</t>
  </si>
  <si>
    <t>esc</t>
  </si>
  <si>
    <t>MosFet LED</t>
  </si>
  <si>
    <t>https://www.infineon.com/cms/de/product/power/mosfet/n-channel/irfz44n/#!parametrics</t>
  </si>
  <si>
    <t>https://www.hydraulikdichtungen24.de/</t>
  </si>
  <si>
    <t>https://de.aliexpress.com/item/1005003432486308.html?spm=a2g0o.productlist.main.15.4874bcf71NhYSZ&amp;algo_pvid=fdaadeda-63a5-4797-9aa0-3921105e5ad6&amp;algo_exp_id=fdaadeda-63a5-4797-9aa0-3921105e5ad6-7&amp;pdp_npi=3%40dis%21EUR%21158.52%2177.68%21%21%21%21%21%402145280e16822608151164312d06eb%2112000028411893482%21sea%21DE%21711718316&amp;curPageLogUid=1obKiMn4yJ2h</t>
  </si>
  <si>
    <t>Wellendichtring (10mm x 1mm)</t>
  </si>
  <si>
    <t>LED Luminus 5000k</t>
  </si>
  <si>
    <t>https://www.mouser.de/ProductDetail/Lumileds/L2C5-50701211F1900?qs=T3oQrply3y8fEmIX84JXJA%3D%3D&amp;fbclid=IwAR2f2rxcJE2FU7lTepjssyPNSu39f1LRK70M-ZY4Ywfw5JjaTxd9uWt-j-k</t>
  </si>
  <si>
    <t>XT90 Verbinder</t>
  </si>
  <si>
    <t>https://www.amazon.de/gp/product/B07NW9RX9M/ref=ewc_pr_img_1?smid=A2JDPV3L82BNVH&amp;psc=1</t>
  </si>
  <si>
    <t>MR60 Verbinder</t>
  </si>
  <si>
    <t>https://www.amazon.de/gp/product/B07ZQN1V63/ref=ewc_pr_img_2?smid=AE5BQTJHC6NVL&amp;th=1</t>
  </si>
  <si>
    <t>Rohrdichtung EPDM 210 x 3 mm</t>
  </si>
  <si>
    <t>Hochleistungsfett (Zahnkranz)</t>
  </si>
  <si>
    <t>https://www.amazon.de/dp/B00295CR0U?ref_=cm_sw_r_apan_dp_03HNDJDERMAZFEYRS585</t>
  </si>
  <si>
    <t>Lampe</t>
  </si>
  <si>
    <t xml:space="preserve">Mitte </t>
  </si>
  <si>
    <t>Gewichtsverteilung Original</t>
  </si>
  <si>
    <t>Gewichtsverteilung Upgrade</t>
  </si>
  <si>
    <t>Akku Schrauben</t>
  </si>
  <si>
    <t>Akku Case</t>
  </si>
  <si>
    <t>Notaus</t>
  </si>
  <si>
    <t>Magnetschalter</t>
  </si>
  <si>
    <t>Zahnkranz</t>
  </si>
  <si>
    <t>Handle</t>
  </si>
  <si>
    <t>Diff</t>
  </si>
  <si>
    <t>Kabel</t>
  </si>
  <si>
    <t>Relay</t>
  </si>
  <si>
    <t>Sicherung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</si>
</sst>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rgb="FF222222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topLeftCell="A3" workbookViewId="0">
      <selection activeCell="I5" sqref="I5"/>
    </sheetView>
  </sheetViews>
  <sheetFormatPr baseColWidth="10" defaultColWidth="14.3828125" defaultRowHeight="15" customHeight="1" x14ac:dyDescent="0.4"/>
  <cols>
    <col min="1" max="1" width="42.3046875" customWidth="1"/>
    <col min="2" max="5" width="10.69140625" customWidth="1"/>
    <col min="6" max="6" width="34.15234375" customWidth="1"/>
    <col min="7" max="7" width="10.69140625" customWidth="1"/>
  </cols>
  <sheetData>
    <row r="1" spans="1:17" ht="14.6" x14ac:dyDescent="0.4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1</v>
      </c>
      <c r="H1" s="1" t="s">
        <v>2</v>
      </c>
      <c r="K1" s="1" t="s">
        <v>72</v>
      </c>
      <c r="O1" s="1" t="s">
        <v>73</v>
      </c>
    </row>
    <row r="2" spans="1:17" ht="14.6" x14ac:dyDescent="0.4">
      <c r="A2" t="s">
        <v>4</v>
      </c>
      <c r="B2" s="2">
        <v>2200</v>
      </c>
      <c r="C2" t="s">
        <v>5</v>
      </c>
      <c r="F2" t="s">
        <v>6</v>
      </c>
      <c r="G2" s="2">
        <v>5600</v>
      </c>
      <c r="H2" t="s">
        <v>11</v>
      </c>
      <c r="K2" t="s">
        <v>5</v>
      </c>
      <c r="L2" t="s">
        <v>71</v>
      </c>
      <c r="M2" t="s">
        <v>7</v>
      </c>
      <c r="O2" t="s">
        <v>5</v>
      </c>
      <c r="P2" t="s">
        <v>71</v>
      </c>
      <c r="Q2" t="s">
        <v>7</v>
      </c>
    </row>
    <row r="3" spans="1:17" ht="14.6" x14ac:dyDescent="0.4">
      <c r="A3" t="s">
        <v>70</v>
      </c>
      <c r="B3" s="2">
        <v>100</v>
      </c>
      <c r="C3" t="s">
        <v>7</v>
      </c>
      <c r="F3" s="3" t="s">
        <v>9</v>
      </c>
      <c r="G3" s="2">
        <v>4700</v>
      </c>
      <c r="H3" t="s">
        <v>5</v>
      </c>
      <c r="K3">
        <f>IF(C2="Hinten",SUM(B2),0)</f>
        <v>2200</v>
      </c>
      <c r="L3">
        <f>IF(C2="Mitte",SUM(B2),0)</f>
        <v>0</v>
      </c>
      <c r="M3" s="4">
        <f>IF(C2="Vorne",SUM(B2),0)</f>
        <v>0</v>
      </c>
      <c r="O3">
        <f>IF(H2="Hinten",SUM(G2),0)</f>
        <v>0</v>
      </c>
      <c r="P3">
        <f>IF(H2="Mitte",SUM(G2),0)</f>
        <v>5600</v>
      </c>
      <c r="Q3" s="4">
        <f>IF(H2="Vorne",SUM(G2),0)</f>
        <v>0</v>
      </c>
    </row>
    <row r="4" spans="1:17" ht="14.6" x14ac:dyDescent="0.4">
      <c r="A4" t="s">
        <v>8</v>
      </c>
      <c r="B4" s="2">
        <v>11000</v>
      </c>
      <c r="C4" t="s">
        <v>11</v>
      </c>
      <c r="F4" t="s">
        <v>10</v>
      </c>
      <c r="G4" s="2">
        <v>600</v>
      </c>
      <c r="H4" t="s">
        <v>7</v>
      </c>
      <c r="K4">
        <f t="shared" ref="K4:K22" si="0">IF(C3="Hinten",SUM(B3),0)</f>
        <v>0</v>
      </c>
      <c r="L4">
        <f t="shared" ref="L4:L22" si="1">IF(C3="Mitte",SUM(B3),0)</f>
        <v>0</v>
      </c>
      <c r="M4" s="4">
        <f t="shared" ref="M4:M22" si="2">IF(C3="Vorne",SUM(B3),0)</f>
        <v>100</v>
      </c>
      <c r="O4">
        <f t="shared" ref="O4:O22" si="3">IF(H3="Hinten",SUM(G3),0)</f>
        <v>4700</v>
      </c>
      <c r="P4">
        <f t="shared" ref="P4:P22" si="4">IF(H3="Mitte",SUM(G3),0)</f>
        <v>0</v>
      </c>
      <c r="Q4" s="4">
        <f t="shared" ref="Q4:Q22" si="5">IF(H3="Vorne",SUM(G3),0)</f>
        <v>0</v>
      </c>
    </row>
    <row r="5" spans="1:17" ht="14.6" x14ac:dyDescent="0.4">
      <c r="F5" t="s">
        <v>79</v>
      </c>
      <c r="G5" s="2">
        <v>300</v>
      </c>
      <c r="H5" t="s">
        <v>5</v>
      </c>
      <c r="K5">
        <f t="shared" si="0"/>
        <v>0</v>
      </c>
      <c r="L5">
        <f t="shared" si="1"/>
        <v>11000</v>
      </c>
      <c r="M5" s="4">
        <f t="shared" si="2"/>
        <v>0</v>
      </c>
      <c r="O5">
        <f t="shared" si="3"/>
        <v>0</v>
      </c>
      <c r="P5">
        <f t="shared" si="4"/>
        <v>0</v>
      </c>
      <c r="Q5" s="4">
        <f t="shared" si="5"/>
        <v>600</v>
      </c>
    </row>
    <row r="6" spans="1:17" ht="14.6" x14ac:dyDescent="0.4">
      <c r="B6" s="2"/>
      <c r="F6" t="s">
        <v>12</v>
      </c>
      <c r="G6" s="2">
        <v>300</v>
      </c>
      <c r="H6" t="s">
        <v>7</v>
      </c>
      <c r="K6">
        <f t="shared" si="0"/>
        <v>0</v>
      </c>
      <c r="L6">
        <f t="shared" si="1"/>
        <v>0</v>
      </c>
      <c r="M6" s="4">
        <f t="shared" si="2"/>
        <v>0</v>
      </c>
      <c r="O6">
        <f t="shared" si="3"/>
        <v>300</v>
      </c>
      <c r="P6">
        <f t="shared" si="4"/>
        <v>0</v>
      </c>
      <c r="Q6" s="4">
        <f t="shared" si="5"/>
        <v>0</v>
      </c>
    </row>
    <row r="7" spans="1:17" ht="14.6" x14ac:dyDescent="0.4">
      <c r="B7" s="2"/>
      <c r="F7" s="3" t="s">
        <v>13</v>
      </c>
      <c r="G7" s="2">
        <v>150</v>
      </c>
      <c r="H7" t="s">
        <v>7</v>
      </c>
      <c r="K7">
        <f t="shared" si="0"/>
        <v>0</v>
      </c>
      <c r="L7">
        <f t="shared" si="1"/>
        <v>0</v>
      </c>
      <c r="M7" s="4">
        <f t="shared" si="2"/>
        <v>0</v>
      </c>
      <c r="O7">
        <f t="shared" si="3"/>
        <v>0</v>
      </c>
      <c r="P7">
        <f t="shared" si="4"/>
        <v>0</v>
      </c>
      <c r="Q7" s="4">
        <f t="shared" si="5"/>
        <v>300</v>
      </c>
    </row>
    <row r="8" spans="1:17" ht="14.6" x14ac:dyDescent="0.4">
      <c r="B8" s="2"/>
      <c r="F8" t="s">
        <v>74</v>
      </c>
      <c r="G8" s="2">
        <v>270</v>
      </c>
      <c r="H8" t="s">
        <v>11</v>
      </c>
      <c r="K8">
        <f t="shared" si="0"/>
        <v>0</v>
      </c>
      <c r="L8">
        <f t="shared" si="1"/>
        <v>0</v>
      </c>
      <c r="M8" s="4">
        <f t="shared" si="2"/>
        <v>0</v>
      </c>
      <c r="O8">
        <f t="shared" si="3"/>
        <v>0</v>
      </c>
      <c r="P8">
        <f t="shared" si="4"/>
        <v>0</v>
      </c>
      <c r="Q8" s="4">
        <f t="shared" si="5"/>
        <v>150</v>
      </c>
    </row>
    <row r="9" spans="1:17" ht="14.6" x14ac:dyDescent="0.4">
      <c r="B9" s="2"/>
      <c r="F9" t="s">
        <v>75</v>
      </c>
      <c r="G9" s="2">
        <v>540</v>
      </c>
      <c r="H9" t="s">
        <v>11</v>
      </c>
      <c r="K9">
        <f t="shared" si="0"/>
        <v>0</v>
      </c>
      <c r="L9">
        <f t="shared" si="1"/>
        <v>0</v>
      </c>
      <c r="M9" s="4">
        <f t="shared" si="2"/>
        <v>0</v>
      </c>
      <c r="O9">
        <f t="shared" si="3"/>
        <v>0</v>
      </c>
      <c r="P9">
        <f t="shared" si="4"/>
        <v>270</v>
      </c>
      <c r="Q9" s="4">
        <f t="shared" si="5"/>
        <v>0</v>
      </c>
    </row>
    <row r="10" spans="1:17" ht="14.6" x14ac:dyDescent="0.4">
      <c r="B10" s="2"/>
      <c r="F10" t="s">
        <v>76</v>
      </c>
      <c r="G10" s="2">
        <v>90</v>
      </c>
      <c r="H10" t="s">
        <v>11</v>
      </c>
      <c r="K10">
        <f t="shared" si="0"/>
        <v>0</v>
      </c>
      <c r="L10">
        <f t="shared" si="1"/>
        <v>0</v>
      </c>
      <c r="M10" s="4">
        <f t="shared" si="2"/>
        <v>0</v>
      </c>
      <c r="O10">
        <f t="shared" si="3"/>
        <v>0</v>
      </c>
      <c r="P10">
        <f t="shared" si="4"/>
        <v>540</v>
      </c>
      <c r="Q10" s="4">
        <f t="shared" si="5"/>
        <v>0</v>
      </c>
    </row>
    <row r="11" spans="1:17" ht="14.6" x14ac:dyDescent="0.4">
      <c r="B11" s="2"/>
      <c r="F11" t="s">
        <v>77</v>
      </c>
      <c r="G11" s="2">
        <v>160</v>
      </c>
      <c r="H11" t="s">
        <v>11</v>
      </c>
      <c r="K11">
        <f t="shared" si="0"/>
        <v>0</v>
      </c>
      <c r="L11">
        <f t="shared" si="1"/>
        <v>0</v>
      </c>
      <c r="M11" s="4">
        <f t="shared" si="2"/>
        <v>0</v>
      </c>
      <c r="O11">
        <f t="shared" si="3"/>
        <v>0</v>
      </c>
      <c r="P11">
        <f t="shared" si="4"/>
        <v>90</v>
      </c>
      <c r="Q11" s="4">
        <f t="shared" si="5"/>
        <v>0</v>
      </c>
    </row>
    <row r="12" spans="1:17" ht="14.6" x14ac:dyDescent="0.4">
      <c r="B12" s="2"/>
      <c r="F12" t="s">
        <v>78</v>
      </c>
      <c r="G12" s="2">
        <v>280</v>
      </c>
      <c r="H12" t="s">
        <v>5</v>
      </c>
      <c r="K12">
        <f t="shared" si="0"/>
        <v>0</v>
      </c>
      <c r="L12">
        <f t="shared" si="1"/>
        <v>0</v>
      </c>
      <c r="M12" s="4">
        <f t="shared" si="2"/>
        <v>0</v>
      </c>
      <c r="O12">
        <f t="shared" si="3"/>
        <v>0</v>
      </c>
      <c r="P12">
        <f t="shared" si="4"/>
        <v>160</v>
      </c>
      <c r="Q12" s="4">
        <f t="shared" si="5"/>
        <v>0</v>
      </c>
    </row>
    <row r="13" spans="1:17" ht="14.6" x14ac:dyDescent="0.4">
      <c r="B13" s="2"/>
      <c r="F13" t="s">
        <v>81</v>
      </c>
      <c r="G13" s="2">
        <v>300</v>
      </c>
      <c r="H13" t="s">
        <v>11</v>
      </c>
      <c r="K13">
        <f t="shared" si="0"/>
        <v>0</v>
      </c>
      <c r="L13">
        <f t="shared" si="1"/>
        <v>0</v>
      </c>
      <c r="M13" s="4">
        <f t="shared" si="2"/>
        <v>0</v>
      </c>
      <c r="O13">
        <f t="shared" si="3"/>
        <v>280</v>
      </c>
      <c r="P13">
        <f t="shared" si="4"/>
        <v>0</v>
      </c>
      <c r="Q13" s="4">
        <f t="shared" si="5"/>
        <v>0</v>
      </c>
    </row>
    <row r="14" spans="1:17" ht="14.6" x14ac:dyDescent="0.4">
      <c r="B14" s="2"/>
      <c r="F14" t="s">
        <v>82</v>
      </c>
      <c r="G14" s="2">
        <v>100</v>
      </c>
      <c r="H14" t="s">
        <v>5</v>
      </c>
      <c r="K14">
        <f t="shared" si="0"/>
        <v>0</v>
      </c>
      <c r="L14">
        <f t="shared" si="1"/>
        <v>0</v>
      </c>
      <c r="M14" s="4">
        <f t="shared" si="2"/>
        <v>0</v>
      </c>
      <c r="O14">
        <f t="shared" si="3"/>
        <v>0</v>
      </c>
      <c r="P14">
        <f t="shared" si="4"/>
        <v>300</v>
      </c>
      <c r="Q14" s="4">
        <f t="shared" si="5"/>
        <v>0</v>
      </c>
    </row>
    <row r="15" spans="1:17" ht="14.6" x14ac:dyDescent="0.4">
      <c r="B15" s="2"/>
      <c r="F15" t="s">
        <v>83</v>
      </c>
      <c r="G15" s="2">
        <v>100</v>
      </c>
      <c r="H15" t="s">
        <v>11</v>
      </c>
      <c r="K15">
        <f t="shared" si="0"/>
        <v>0</v>
      </c>
      <c r="L15">
        <f t="shared" si="1"/>
        <v>0</v>
      </c>
      <c r="M15" s="4">
        <f t="shared" si="2"/>
        <v>0</v>
      </c>
      <c r="O15">
        <f t="shared" si="3"/>
        <v>100</v>
      </c>
      <c r="P15">
        <f t="shared" si="4"/>
        <v>0</v>
      </c>
      <c r="Q15" s="4">
        <f t="shared" si="5"/>
        <v>0</v>
      </c>
    </row>
    <row r="16" spans="1:17" ht="14.6" x14ac:dyDescent="0.4">
      <c r="B16" s="2"/>
      <c r="G16" s="2"/>
      <c r="K16">
        <f t="shared" si="0"/>
        <v>0</v>
      </c>
      <c r="L16">
        <f t="shared" si="1"/>
        <v>0</v>
      </c>
      <c r="M16" s="4">
        <f t="shared" si="2"/>
        <v>0</v>
      </c>
      <c r="O16">
        <f t="shared" si="3"/>
        <v>0</v>
      </c>
      <c r="P16">
        <f t="shared" si="4"/>
        <v>100</v>
      </c>
      <c r="Q16" s="4">
        <f t="shared" si="5"/>
        <v>0</v>
      </c>
    </row>
    <row r="17" spans="1:17" ht="14.6" x14ac:dyDescent="0.4">
      <c r="A17" t="s">
        <v>12</v>
      </c>
      <c r="B17" s="2">
        <v>414</v>
      </c>
      <c r="C17" t="s">
        <v>5</v>
      </c>
      <c r="G17" s="2"/>
      <c r="K17">
        <f t="shared" si="0"/>
        <v>0</v>
      </c>
      <c r="L17">
        <f t="shared" si="1"/>
        <v>0</v>
      </c>
      <c r="M17" s="4">
        <f t="shared" si="2"/>
        <v>0</v>
      </c>
      <c r="O17">
        <f t="shared" si="3"/>
        <v>0</v>
      </c>
      <c r="P17">
        <f t="shared" si="4"/>
        <v>0</v>
      </c>
      <c r="Q17" s="4">
        <f t="shared" si="5"/>
        <v>0</v>
      </c>
    </row>
    <row r="18" spans="1:17" ht="14.6" x14ac:dyDescent="0.4">
      <c r="A18" t="s">
        <v>14</v>
      </c>
      <c r="B18" s="2">
        <v>120</v>
      </c>
      <c r="C18" t="s">
        <v>11</v>
      </c>
      <c r="G18" s="2"/>
      <c r="K18">
        <f t="shared" si="0"/>
        <v>414</v>
      </c>
      <c r="L18">
        <f t="shared" si="1"/>
        <v>0</v>
      </c>
      <c r="M18" s="4">
        <f t="shared" si="2"/>
        <v>0</v>
      </c>
      <c r="O18">
        <f t="shared" si="3"/>
        <v>0</v>
      </c>
      <c r="P18">
        <f t="shared" si="4"/>
        <v>0</v>
      </c>
      <c r="Q18" s="4">
        <f t="shared" si="5"/>
        <v>0</v>
      </c>
    </row>
    <row r="19" spans="1:17" ht="14.6" x14ac:dyDescent="0.4">
      <c r="A19" t="s">
        <v>15</v>
      </c>
      <c r="B19" s="2">
        <v>780</v>
      </c>
      <c r="C19" t="s">
        <v>5</v>
      </c>
      <c r="F19" t="s">
        <v>14</v>
      </c>
      <c r="G19" s="2">
        <v>120</v>
      </c>
      <c r="H19" t="s">
        <v>11</v>
      </c>
      <c r="K19">
        <f t="shared" si="0"/>
        <v>0</v>
      </c>
      <c r="L19">
        <f t="shared" si="1"/>
        <v>120</v>
      </c>
      <c r="M19" s="4">
        <f t="shared" si="2"/>
        <v>0</v>
      </c>
      <c r="O19">
        <f t="shared" si="3"/>
        <v>0</v>
      </c>
      <c r="P19">
        <f t="shared" si="4"/>
        <v>0</v>
      </c>
      <c r="Q19" s="4">
        <f t="shared" si="5"/>
        <v>0</v>
      </c>
    </row>
    <row r="20" spans="1:17" ht="14.6" x14ac:dyDescent="0.4">
      <c r="A20" s="3" t="s">
        <v>16</v>
      </c>
      <c r="B20" s="2">
        <v>4200</v>
      </c>
      <c r="C20" t="s">
        <v>5</v>
      </c>
      <c r="F20" t="s">
        <v>16</v>
      </c>
      <c r="G20" s="2">
        <v>4200</v>
      </c>
      <c r="H20" t="s">
        <v>5</v>
      </c>
      <c r="K20">
        <f t="shared" si="0"/>
        <v>780</v>
      </c>
      <c r="L20">
        <f t="shared" si="1"/>
        <v>0</v>
      </c>
      <c r="M20" s="4">
        <f t="shared" si="2"/>
        <v>0</v>
      </c>
      <c r="O20">
        <f t="shared" si="3"/>
        <v>0</v>
      </c>
      <c r="P20">
        <f t="shared" si="4"/>
        <v>120</v>
      </c>
      <c r="Q20" s="4">
        <f t="shared" si="5"/>
        <v>0</v>
      </c>
    </row>
    <row r="21" spans="1:17" ht="15.75" customHeight="1" x14ac:dyDescent="0.4">
      <c r="A21" t="s">
        <v>17</v>
      </c>
      <c r="B21" s="2">
        <v>4000</v>
      </c>
      <c r="C21" t="s">
        <v>11</v>
      </c>
      <c r="F21" t="s">
        <v>17</v>
      </c>
      <c r="G21" s="2">
        <v>4000</v>
      </c>
      <c r="H21" t="s">
        <v>11</v>
      </c>
      <c r="K21">
        <f t="shared" si="0"/>
        <v>4200</v>
      </c>
      <c r="L21">
        <f t="shared" si="1"/>
        <v>0</v>
      </c>
      <c r="M21" s="4">
        <f t="shared" si="2"/>
        <v>0</v>
      </c>
      <c r="O21">
        <f t="shared" si="3"/>
        <v>4200</v>
      </c>
      <c r="P21">
        <f t="shared" si="4"/>
        <v>0</v>
      </c>
      <c r="Q21" s="4">
        <f t="shared" si="5"/>
        <v>0</v>
      </c>
    </row>
    <row r="22" spans="1:17" ht="15.75" customHeight="1" x14ac:dyDescent="0.4">
      <c r="A22" t="s">
        <v>18</v>
      </c>
      <c r="B22" s="2">
        <v>1610</v>
      </c>
      <c r="C22" t="s">
        <v>7</v>
      </c>
      <c r="F22" t="s">
        <v>18</v>
      </c>
      <c r="G22" s="2">
        <v>1610</v>
      </c>
      <c r="H22" t="s">
        <v>7</v>
      </c>
      <c r="K22">
        <f t="shared" si="0"/>
        <v>0</v>
      </c>
      <c r="L22">
        <f t="shared" si="1"/>
        <v>4000</v>
      </c>
      <c r="M22" s="4">
        <f t="shared" si="2"/>
        <v>0</v>
      </c>
      <c r="O22">
        <f t="shared" si="3"/>
        <v>0</v>
      </c>
      <c r="P22">
        <f t="shared" si="4"/>
        <v>4000</v>
      </c>
      <c r="Q22" s="4">
        <f t="shared" si="5"/>
        <v>0</v>
      </c>
    </row>
    <row r="23" spans="1:17" ht="15.75" customHeight="1" x14ac:dyDescent="0.4">
      <c r="B23" s="2"/>
      <c r="G23" s="2"/>
    </row>
    <row r="24" spans="1:17" ht="15.75" customHeight="1" x14ac:dyDescent="0.4">
      <c r="B24" s="2"/>
      <c r="G24" s="2"/>
    </row>
    <row r="25" spans="1:17" ht="15.75" customHeight="1" x14ac:dyDescent="0.4">
      <c r="B25" s="2"/>
      <c r="G25" s="2"/>
    </row>
    <row r="26" spans="1:17" ht="15.75" customHeight="1" x14ac:dyDescent="0.4">
      <c r="A26" t="s">
        <v>19</v>
      </c>
      <c r="B26" s="5">
        <f>SUM(B2:B25)</f>
        <v>24424</v>
      </c>
      <c r="F26" t="s">
        <v>19</v>
      </c>
      <c r="G26" s="5">
        <f>SUM(G2:G25)</f>
        <v>23420</v>
      </c>
      <c r="K26">
        <f>SUM(K3:K22)</f>
        <v>7594</v>
      </c>
      <c r="L26">
        <f>SUM(L3:L22)</f>
        <v>15120</v>
      </c>
      <c r="M26" s="11">
        <f>SUM(M3:M22)</f>
        <v>100</v>
      </c>
      <c r="O26">
        <f>SUM(O3:O22)</f>
        <v>9580</v>
      </c>
      <c r="P26">
        <f>SUM(P3:P22)</f>
        <v>11180</v>
      </c>
      <c r="Q26" s="11">
        <f>SUM(Q3:Q22)</f>
        <v>1050</v>
      </c>
    </row>
    <row r="27" spans="1:17" ht="15.75" customHeight="1" x14ac:dyDescent="0.4">
      <c r="B27" s="2"/>
      <c r="G27" s="2"/>
    </row>
    <row r="28" spans="1:17" ht="15.75" customHeight="1" x14ac:dyDescent="0.4">
      <c r="A28" s="3" t="s">
        <v>20</v>
      </c>
      <c r="B28" s="6">
        <v>24000</v>
      </c>
      <c r="G28" s="2"/>
    </row>
    <row r="29" spans="1:17" ht="15.75" customHeight="1" x14ac:dyDescent="0.4">
      <c r="A29" s="3" t="s">
        <v>21</v>
      </c>
      <c r="B29" s="7" t="s">
        <v>22</v>
      </c>
      <c r="F29" t="s">
        <v>80</v>
      </c>
      <c r="G29" s="11">
        <f>B26-G26</f>
        <v>1004</v>
      </c>
    </row>
    <row r="30" spans="1:17" ht="15.75" customHeight="1" x14ac:dyDescent="0.4">
      <c r="A30" s="8" t="s">
        <v>23</v>
      </c>
      <c r="B30" s="6" t="s">
        <v>24</v>
      </c>
      <c r="G30" s="2"/>
    </row>
    <row r="31" spans="1:17" ht="15.75" customHeight="1" x14ac:dyDescent="0.4">
      <c r="A31" s="8" t="s">
        <v>25</v>
      </c>
      <c r="B31" s="6" t="s">
        <v>26</v>
      </c>
      <c r="G31" s="2"/>
    </row>
    <row r="32" spans="1:17" ht="15.75" customHeight="1" x14ac:dyDescent="0.4">
      <c r="A32" s="8" t="s">
        <v>27</v>
      </c>
      <c r="B32" s="6" t="s">
        <v>28</v>
      </c>
    </row>
    <row r="33" spans="1:2" ht="15.75" customHeight="1" x14ac:dyDescent="0.4">
      <c r="A33" s="8" t="s">
        <v>29</v>
      </c>
      <c r="B33" s="6" t="s">
        <v>30</v>
      </c>
    </row>
    <row r="34" spans="1:2" ht="15.75" customHeight="1" x14ac:dyDescent="0.4">
      <c r="A34" s="8" t="s">
        <v>31</v>
      </c>
      <c r="B34" s="6" t="s">
        <v>32</v>
      </c>
    </row>
    <row r="35" spans="1:2" ht="15.75" customHeight="1" x14ac:dyDescent="0.4">
      <c r="A35" s="8" t="s">
        <v>33</v>
      </c>
      <c r="B35" s="6" t="s">
        <v>34</v>
      </c>
    </row>
    <row r="36" spans="1:2" ht="15.75" customHeight="1" x14ac:dyDescent="0.4">
      <c r="A36" s="8" t="s">
        <v>35</v>
      </c>
      <c r="B36" s="9" t="s">
        <v>36</v>
      </c>
    </row>
    <row r="37" spans="1:2" ht="15.75" customHeight="1" x14ac:dyDescent="0.4">
      <c r="A37" s="8" t="s">
        <v>37</v>
      </c>
      <c r="B37" s="6" t="s">
        <v>38</v>
      </c>
    </row>
    <row r="38" spans="1:2" ht="15.75" customHeight="1" x14ac:dyDescent="0.4">
      <c r="A38" s="8" t="s">
        <v>39</v>
      </c>
      <c r="B38" s="6" t="s">
        <v>40</v>
      </c>
    </row>
    <row r="39" spans="1:2" ht="15.75" customHeight="1" x14ac:dyDescent="0.4"/>
    <row r="40" spans="1:2" ht="15.75" customHeight="1" x14ac:dyDescent="0.4"/>
    <row r="41" spans="1:2" ht="15.75" customHeight="1" x14ac:dyDescent="0.4"/>
    <row r="42" spans="1:2" ht="15.75" customHeight="1" x14ac:dyDescent="0.4"/>
    <row r="43" spans="1:2" ht="15.75" customHeight="1" x14ac:dyDescent="0.4"/>
    <row r="44" spans="1:2" ht="15.75" customHeight="1" x14ac:dyDescent="0.4"/>
    <row r="45" spans="1:2" ht="15.75" customHeight="1" x14ac:dyDescent="0.4"/>
    <row r="46" spans="1:2" ht="15.75" customHeight="1" x14ac:dyDescent="0.4"/>
    <row r="47" spans="1:2" ht="15.75" customHeight="1" x14ac:dyDescent="0.4"/>
    <row r="48" spans="1:2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</sheetData>
  <autoFilter ref="A1:C4" xr:uid="{00000000-0001-0000-0000-000000000000}"/>
  <pageMargins left="0.7" right="0.7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>
      <selection activeCell="B1" sqref="B1:B1048576"/>
    </sheetView>
  </sheetViews>
  <sheetFormatPr baseColWidth="10" defaultColWidth="14.3828125" defaultRowHeight="15" customHeight="1" x14ac:dyDescent="0.4"/>
  <cols>
    <col min="1" max="1" width="27.53515625" customWidth="1"/>
    <col min="2" max="10" width="10.69140625" customWidth="1"/>
  </cols>
  <sheetData>
    <row r="1" spans="1:2" ht="14.6" x14ac:dyDescent="0.4">
      <c r="A1" t="s">
        <v>41</v>
      </c>
      <c r="B1" t="s">
        <v>42</v>
      </c>
    </row>
    <row r="3" spans="1:2" ht="14.6" x14ac:dyDescent="0.4">
      <c r="A3" t="s">
        <v>43</v>
      </c>
      <c r="B3" t="s">
        <v>44</v>
      </c>
    </row>
    <row r="4" spans="1:2" ht="14.6" x14ac:dyDescent="0.4">
      <c r="A4" t="s">
        <v>45</v>
      </c>
      <c r="B4" t="s">
        <v>46</v>
      </c>
    </row>
    <row r="5" spans="1:2" ht="14.6" x14ac:dyDescent="0.4">
      <c r="A5" t="s">
        <v>47</v>
      </c>
      <c r="B5" t="s">
        <v>48</v>
      </c>
    </row>
    <row r="6" spans="1:2" ht="14.6" x14ac:dyDescent="0.4">
      <c r="A6" s="8" t="s">
        <v>49</v>
      </c>
      <c r="B6" t="s">
        <v>50</v>
      </c>
    </row>
    <row r="7" spans="1:2" ht="14.6" x14ac:dyDescent="0.4">
      <c r="A7" s="8" t="s">
        <v>51</v>
      </c>
      <c r="B7" t="s">
        <v>52</v>
      </c>
    </row>
    <row r="8" spans="1:2" ht="14.6" x14ac:dyDescent="0.4">
      <c r="A8" s="8" t="s">
        <v>53</v>
      </c>
      <c r="B8" t="s">
        <v>54</v>
      </c>
    </row>
    <row r="9" spans="1:2" ht="14.6" x14ac:dyDescent="0.4">
      <c r="A9" s="8" t="s">
        <v>55</v>
      </c>
      <c r="B9" t="s">
        <v>59</v>
      </c>
    </row>
    <row r="10" spans="1:2" ht="14.6" x14ac:dyDescent="0.4">
      <c r="A10" t="s">
        <v>63</v>
      </c>
      <c r="B10" t="s">
        <v>64</v>
      </c>
    </row>
    <row r="11" spans="1:2" ht="14.6" x14ac:dyDescent="0.4">
      <c r="A11" t="s">
        <v>65</v>
      </c>
      <c r="B11" t="s">
        <v>66</v>
      </c>
    </row>
    <row r="12" spans="1:2" ht="14.6" x14ac:dyDescent="0.4">
      <c r="A12" t="s">
        <v>56</v>
      </c>
      <c r="B12" t="s">
        <v>57</v>
      </c>
    </row>
    <row r="13" spans="1:2" ht="14.6" x14ac:dyDescent="0.4">
      <c r="A13" t="s">
        <v>61</v>
      </c>
      <c r="B13" t="s">
        <v>62</v>
      </c>
    </row>
    <row r="14" spans="1:2" ht="14.6" x14ac:dyDescent="0.4">
      <c r="A14" t="s">
        <v>67</v>
      </c>
      <c r="B14" t="s">
        <v>58</v>
      </c>
    </row>
    <row r="15" spans="1:2" ht="14.6" x14ac:dyDescent="0.4">
      <c r="A15" t="s">
        <v>60</v>
      </c>
    </row>
    <row r="16" spans="1:2" ht="14.6" x14ac:dyDescent="0.4"/>
    <row r="17" spans="1:2" ht="14.6" x14ac:dyDescent="0.4">
      <c r="A17" t="s">
        <v>68</v>
      </c>
      <c r="B17" t="s">
        <v>69</v>
      </c>
    </row>
    <row r="18" spans="1:2" ht="14.6" x14ac:dyDescent="0.4"/>
    <row r="19" spans="1:2" ht="14.6" x14ac:dyDescent="0.4"/>
    <row r="20" spans="1:2" ht="14.6" x14ac:dyDescent="0.4"/>
    <row r="21" spans="1:2" ht="15.75" customHeight="1" x14ac:dyDescent="0.4"/>
    <row r="22" spans="1:2" ht="15.75" customHeight="1" x14ac:dyDescent="0.4"/>
    <row r="23" spans="1:2" ht="15.75" customHeight="1" x14ac:dyDescent="0.4"/>
    <row r="24" spans="1:2" ht="15.75" customHeight="1" x14ac:dyDescent="0.4"/>
    <row r="25" spans="1:2" ht="15.75" customHeight="1" x14ac:dyDescent="0.4"/>
    <row r="26" spans="1:2" ht="15.75" customHeight="1" x14ac:dyDescent="0.4"/>
    <row r="27" spans="1:2" ht="15.75" customHeight="1" x14ac:dyDescent="0.4"/>
    <row r="28" spans="1:2" ht="15.75" customHeight="1" x14ac:dyDescent="0.4"/>
    <row r="29" spans="1:2" ht="15.75" customHeight="1" x14ac:dyDescent="0.4"/>
    <row r="30" spans="1:2" ht="15.75" customHeight="1" x14ac:dyDescent="0.4"/>
    <row r="31" spans="1:2" ht="15.75" customHeight="1" x14ac:dyDescent="0.4"/>
    <row r="32" spans="1:2" ht="15.75" customHeight="1" x14ac:dyDescent="0.4"/>
    <row r="33" spans="1:1" ht="15.75" customHeight="1" x14ac:dyDescent="0.4"/>
    <row r="34" spans="1:1" ht="15.75" customHeight="1" x14ac:dyDescent="0.55000000000000004">
      <c r="A34" s="10"/>
    </row>
    <row r="35" spans="1:1" ht="15.75" customHeight="1" x14ac:dyDescent="0.4"/>
    <row r="36" spans="1:1" ht="15.75" customHeight="1" x14ac:dyDescent="0.4"/>
    <row r="37" spans="1:1" ht="15.75" customHeight="1" x14ac:dyDescent="0.4"/>
    <row r="38" spans="1:1" ht="15.75" customHeight="1" x14ac:dyDescent="0.4">
      <c r="A38" s="8"/>
    </row>
    <row r="39" spans="1:1" ht="15.75" customHeight="1" x14ac:dyDescent="0.4">
      <c r="A39" s="8"/>
    </row>
    <row r="40" spans="1:1" ht="15.75" customHeight="1" x14ac:dyDescent="0.4">
      <c r="A40" s="8"/>
    </row>
    <row r="41" spans="1:1" ht="15.75" customHeight="1" x14ac:dyDescent="0.4">
      <c r="A41" s="8"/>
    </row>
    <row r="42" spans="1:1" ht="15.75" customHeight="1" x14ac:dyDescent="0.4">
      <c r="A42" s="8"/>
    </row>
    <row r="43" spans="1:1" ht="15.75" customHeight="1" x14ac:dyDescent="0.4">
      <c r="A43" s="8"/>
    </row>
    <row r="44" spans="1:1" ht="15.75" customHeight="1" x14ac:dyDescent="0.4">
      <c r="A44" s="8"/>
    </row>
    <row r="45" spans="1:1" ht="15.75" customHeight="1" x14ac:dyDescent="0.4">
      <c r="A45" s="8"/>
    </row>
    <row r="46" spans="1:1" ht="15.75" customHeight="1" x14ac:dyDescent="0.4">
      <c r="A46" s="8"/>
    </row>
    <row r="47" spans="1:1" ht="15.75" customHeight="1" x14ac:dyDescent="0.4">
      <c r="A47" s="8"/>
    </row>
    <row r="48" spans="1:1" ht="15.75" customHeight="1" x14ac:dyDescent="0.4">
      <c r="A48" s="8"/>
    </row>
    <row r="49" spans="1:1" ht="15.75" customHeight="1" x14ac:dyDescent="0.4">
      <c r="A49" s="8"/>
    </row>
    <row r="50" spans="1:1" ht="15.75" customHeight="1" x14ac:dyDescent="0.4"/>
    <row r="51" spans="1:1" ht="15.75" customHeight="1" x14ac:dyDescent="0.4"/>
    <row r="52" spans="1:1" ht="15.75" customHeight="1" x14ac:dyDescent="0.4"/>
    <row r="53" spans="1:1" ht="15.75" customHeight="1" x14ac:dyDescent="0.4"/>
    <row r="54" spans="1:1" ht="15.75" customHeight="1" x14ac:dyDescent="0.4"/>
    <row r="55" spans="1:1" ht="15.75" customHeight="1" x14ac:dyDescent="0.4"/>
    <row r="56" spans="1:1" ht="15.75" customHeight="1" x14ac:dyDescent="0.4"/>
    <row r="57" spans="1:1" ht="15.75" customHeight="1" x14ac:dyDescent="0.4"/>
    <row r="58" spans="1:1" ht="15.75" customHeight="1" x14ac:dyDescent="0.4"/>
    <row r="59" spans="1:1" ht="15.75" customHeight="1" x14ac:dyDescent="0.4"/>
    <row r="60" spans="1:1" ht="15.75" customHeight="1" x14ac:dyDescent="0.4"/>
    <row r="61" spans="1:1" ht="15.75" customHeight="1" x14ac:dyDescent="0.4"/>
    <row r="62" spans="1:1" ht="15.75" customHeight="1" x14ac:dyDescent="0.4"/>
    <row r="63" spans="1:1" ht="15.75" customHeight="1" x14ac:dyDescent="0.4"/>
    <row r="64" spans="1:1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LT30-Daten</vt:lpstr>
      <vt:lpstr>Shoppinglist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admbubeck</dc:creator>
  <cp:lastModifiedBy>Bubeck Christoph</cp:lastModifiedBy>
  <dcterms:created xsi:type="dcterms:W3CDTF">2023-03-24T11:02:08Z</dcterms:created>
  <dcterms:modified xsi:type="dcterms:W3CDTF">2024-08-31T11:55:42Z</dcterms:modified>
</cp:coreProperties>
</file>